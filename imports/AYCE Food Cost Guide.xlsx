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<sst xmlns="http://schemas.openxmlformats.org/spreadsheetml/2006/main" count="75" uniqueCount="72">
  <si>
    <t>Classic</t>
  </si>
  <si>
    <t>Premium</t>
  </si>
  <si>
    <t>Royalty</t>
  </si>
  <si>
    <t>Revenue</t>
  </si>
  <si>
    <t>Mon-Thurs</t>
  </si>
  <si>
    <t>45</t>
  </si>
  <si>
    <t>38</t>
  </si>
  <si>
    <t>Reg Price-&gt;</t>
  </si>
  <si>
    <t>Fri/Sat/Sun PM</t>
  </si>
  <si>
    <t>39</t>
  </si>
  <si>
    <t>32</t>
  </si>
  <si>
    <t>Weekend Price-&gt;</t>
  </si>
  <si>
    <t>Fri, Sat, Sun AM</t>
  </si>
  <si>
    <t>7</t>
  </si>
  <si>
    <t>15</t>
  </si>
  <si>
    <t>4</t>
  </si>
  <si>
    <t>(OT) Mon-Thurs, Fri &amp; Sat &amp; Sun AM</t>
  </si>
  <si>
    <t>(OT) Fri/Sat/Sun PM</t>
  </si>
  <si>
    <t>TOTAL AYCE Guests</t>
  </si>
  <si>
    <t>Total Cust--&gt;</t>
  </si>
  <si>
    <t>TOTAL REV</t>
  </si>
  <si>
    <t>Cocktails PP</t>
  </si>
  <si>
    <t>&lt;-Ckt/guest</t>
  </si>
  <si>
    <t>Rev. Per guest-&gt;</t>
  </si>
  <si>
    <t>Beers</t>
  </si>
  <si>
    <t>CM Per Guest-&gt;</t>
  </si>
  <si>
    <t>Alc CM/Guest</t>
  </si>
  <si>
    <t>Jumbotron</t>
  </si>
  <si>
    <t>Lamb Chops</t>
  </si>
  <si>
    <t xml:space="preserve">Wagyu </t>
  </si>
  <si>
    <t>Stone Crabs</t>
  </si>
  <si>
    <t>King Crab</t>
  </si>
  <si>
    <t>Blue Crabs (2)</t>
  </si>
  <si>
    <t>Snow Crab (1)</t>
  </si>
  <si>
    <t>Snow Crab (2 cl)</t>
  </si>
  <si>
    <t>Surf and Turf</t>
  </si>
  <si>
    <t>Whole Lobster</t>
  </si>
  <si>
    <t>Lobster Tails</t>
  </si>
  <si>
    <t>Shigoku/Fanny Bay (6)</t>
  </si>
  <si>
    <t>Shigoku/Fanny Bay (12)</t>
  </si>
  <si>
    <t>Scallops</t>
  </si>
  <si>
    <t>King Prawn</t>
  </si>
  <si>
    <t>Shrimp lbs</t>
  </si>
  <si>
    <t>Mussels</t>
  </si>
  <si>
    <t>Crawfish</t>
  </si>
  <si>
    <t>Skinny-Happy Oysters (6)</t>
  </si>
  <si>
    <t>Skinny-Happy Oysters (12)</t>
  </si>
  <si>
    <t>8 oz Ribeye</t>
  </si>
  <si>
    <t>Char (6)</t>
  </si>
  <si>
    <t>Char (12)</t>
  </si>
  <si>
    <t>Lobster Garlic Nood</t>
  </si>
  <si>
    <t>Crab Cake (2pc)</t>
  </si>
  <si>
    <t>Crudo</t>
  </si>
  <si>
    <t>Other Stuff</t>
  </si>
  <si>
    <t>WDT</t>
  </si>
  <si>
    <t>Catfish</t>
  </si>
  <si>
    <t>Shrimp</t>
  </si>
  <si>
    <t>Gator</t>
  </si>
  <si>
    <t>Blackend Wings</t>
  </si>
  <si>
    <t>Tenders</t>
  </si>
  <si>
    <t>Shrimp Tacos</t>
  </si>
  <si>
    <t>Catfish Tacos</t>
  </si>
  <si>
    <t>Honey SHrimp</t>
  </si>
  <si>
    <t>Calimari</t>
  </si>
  <si>
    <t>BlackenedSalmon</t>
  </si>
  <si>
    <t>Shrimp Scampi</t>
  </si>
  <si>
    <t>Gumbo</t>
  </si>
  <si>
    <t>Clam Chowder (s)</t>
  </si>
  <si>
    <t>Clam Chowder (l)</t>
  </si>
  <si>
    <t>Crab Dip</t>
  </si>
  <si>
    <t>Sides/Desserts/Sauce</t>
  </si>
  <si>
    <t>Food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</si>
</sst>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"/>
    <numFmt numFmtId="165" formatCode="&quot;$&quot;#,##0.00"/>
    <numFmt numFmtId="166" formatCode="&quot;$&quot;#,##0"/>
    <numFmt numFmtId="167" formatCode="0.0%"/>
    <numFmt numFmtId="168" formatCode="&quot;$&quot;#,##0.0"/>
    <numFmt numFmtId="169" formatCode="0.000"/>
  </numFmts>
  <fonts count="11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i/>
      <u/>
      <color theme="1"/>
      <name val="Arial"/>
    </font>
    <font>
      <i/>
      <color theme="1"/>
      <name val="Arial"/>
    </font>
    <font>
      <b/>
      <i/>
      <color rgb="FF252525"/>
      <name val="Arial"/>
    </font>
    <font>
      <b/>
      <i/>
      <color theme="1"/>
      <name val="Arial"/>
    </font>
    <font>
      <color rgb="FF252525"/>
      <name val="Arial"/>
    </font>
    <font>
      <color rgb="FF252525"/>
      <name val="Source-Sans-Pro"/>
    </font>
    <font>
      <b/>
      <color rgb="FF252525"/>
      <name val="Arial"/>
    </font>
    <font>
      <b/>
      <color rgb="FF252525"/>
      <name val="Source-Sans-Pro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</fills>
  <borders count="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vertical="bottom"/>
    </xf>
    <xf borderId="2" fillId="0" fontId="2" numFmtId="0" xfId="0" applyAlignment="1" applyBorder="1" applyFont="1">
      <alignment vertical="bottom"/>
    </xf>
    <xf borderId="2" fillId="0" fontId="1" numFmtId="165" xfId="0" applyAlignment="1" applyBorder="1" applyFont="1" applyNumberFormat="1">
      <alignment horizontal="center" vertical="bottom"/>
    </xf>
    <xf borderId="2" fillId="0" fontId="1" numFmtId="0" xfId="0" applyAlignment="1" applyBorder="1" applyFont="1">
      <alignment horizontal="center" vertical="bottom"/>
    </xf>
    <xf borderId="3" fillId="0" fontId="1" numFmtId="10" xfId="0" applyAlignment="1" applyBorder="1" applyFont="1" applyNumberFormat="1">
      <alignment horizontal="center" vertical="bottom"/>
    </xf>
    <xf borderId="0" fillId="0" fontId="1" numFmtId="164" xfId="0" applyAlignment="1" applyFont="1" applyNumberFormat="1">
      <alignment horizontal="center" vertical="bottom"/>
    </xf>
    <xf borderId="4" fillId="0" fontId="1" numFmtId="0" xfId="0" applyAlignment="1" applyBorder="1" applyFont="1">
      <alignment horizontal="center" vertical="bottom"/>
    </xf>
    <xf borderId="0" fillId="0" fontId="1" numFmtId="49" xfId="0" applyAlignment="1" applyFont="1" applyNumberFormat="1">
      <alignment horizontal="center" vertical="bottom"/>
    </xf>
    <xf borderId="5" fillId="0" fontId="1" numFmtId="166" xfId="0" applyAlignment="1" applyBorder="1" applyFont="1" applyNumberFormat="1">
      <alignment horizontal="center" vertical="bottom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6" xfId="0" applyAlignment="1" applyFont="1" applyNumberFormat="1">
      <alignment horizontal="center" vertical="bottom"/>
    </xf>
    <xf borderId="5" fillId="0" fontId="2" numFmtId="10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0" fillId="2" fontId="2" numFmtId="165" xfId="0" applyAlignment="1" applyFill="1" applyFont="1" applyNumberFormat="1">
      <alignment vertical="bottom"/>
    </xf>
    <xf borderId="0" fillId="2" fontId="2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4" fillId="0" fontId="3" numFmtId="10" xfId="0" applyAlignment="1" applyBorder="1" applyFont="1" applyNumberFormat="1">
      <alignment horizontal="center" vertical="bottom"/>
    </xf>
    <xf borderId="0" fillId="0" fontId="2" numFmtId="167" xfId="0" applyAlignment="1" applyFont="1" applyNumberFormat="1">
      <alignment horizontal="center" vertical="bottom"/>
    </xf>
    <xf borderId="4" fillId="0" fontId="2" numFmtId="0" xfId="0" applyAlignment="1" applyBorder="1" applyFont="1">
      <alignment horizontal="right" vertical="bottom"/>
    </xf>
    <xf borderId="0" fillId="3" fontId="2" numFmtId="3" xfId="0" applyAlignment="1" applyFill="1" applyFont="1" applyNumberFormat="1">
      <alignment horizontal="center" vertical="bottom"/>
    </xf>
    <xf borderId="0" fillId="0" fontId="2" numFmtId="165" xfId="0" applyAlignment="1" applyFont="1" applyNumberFormat="1">
      <alignment vertical="bottom"/>
    </xf>
    <xf borderId="0" fillId="0" fontId="1" numFmtId="165" xfId="0" applyAlignment="1" applyFont="1" applyNumberFormat="1">
      <alignment horizontal="center" vertical="bottom"/>
    </xf>
    <xf borderId="4" fillId="0" fontId="2" numFmtId="0" xfId="0" applyAlignment="1" applyBorder="1" applyFont="1">
      <alignment horizontal="center" vertical="bottom"/>
    </xf>
    <xf borderId="0" fillId="3" fontId="2" numFmtId="0" xfId="0" applyAlignment="1" applyFont="1">
      <alignment vertical="bottom"/>
    </xf>
    <xf borderId="0" fillId="0" fontId="2" numFmtId="2" xfId="0" applyAlignment="1" applyFont="1" applyNumberFormat="1">
      <alignment horizontal="center" vertical="bottom"/>
    </xf>
    <xf borderId="5" fillId="0" fontId="2" numFmtId="166" xfId="0" applyAlignment="1" applyBorder="1" applyFont="1" applyNumberFormat="1">
      <alignment horizontal="center" vertical="bottom"/>
    </xf>
    <xf borderId="0" fillId="0" fontId="4" numFmtId="165" xfId="0" applyAlignment="1" applyFont="1" applyNumberFormat="1">
      <alignment horizontal="center" vertical="bottom"/>
    </xf>
    <xf borderId="5" fillId="0" fontId="4" numFmtId="165" xfId="0" applyAlignment="1" applyBorder="1" applyFont="1" applyNumberFormat="1">
      <alignment horizontal="center" vertical="bottom"/>
    </xf>
    <xf borderId="0" fillId="4" fontId="5" numFmtId="165" xfId="0" applyAlignment="1" applyFill="1" applyFont="1" applyNumberFormat="1">
      <alignment horizontal="center" vertical="bottom"/>
    </xf>
    <xf borderId="0" fillId="0" fontId="6" numFmtId="168" xfId="0" applyAlignment="1" applyFont="1" applyNumberFormat="1">
      <alignment horizontal="right" vertical="bottom"/>
    </xf>
    <xf borderId="0" fillId="4" fontId="2" numFmtId="165" xfId="0" applyAlignment="1" applyFont="1" applyNumberFormat="1">
      <alignment vertical="bottom"/>
    </xf>
    <xf borderId="0" fillId="4" fontId="2" numFmtId="165" xfId="0" applyAlignment="1" applyFont="1" applyNumberFormat="1">
      <alignment vertical="bottom"/>
    </xf>
    <xf borderId="0" fillId="4" fontId="2" numFmtId="0" xfId="0" applyAlignment="1" applyFont="1">
      <alignment vertical="bottom"/>
    </xf>
    <xf borderId="0" fillId="4" fontId="7" numFmtId="165" xfId="0" applyAlignment="1" applyFont="1" applyNumberFormat="1">
      <alignment horizontal="center" vertical="bottom"/>
    </xf>
    <xf borderId="0" fillId="0" fontId="7" numFmtId="165" xfId="0" applyAlignment="1" applyFont="1" applyNumberFormat="1">
      <alignment horizontal="center" vertical="bottom"/>
    </xf>
    <xf borderId="0" fillId="4" fontId="8" numFmtId="165" xfId="0" applyAlignment="1" applyFont="1" applyNumberFormat="1">
      <alignment horizontal="center" vertical="bottom"/>
    </xf>
    <xf borderId="5" fillId="0" fontId="2" numFmtId="2" xfId="0" applyAlignment="1" applyBorder="1" applyFont="1" applyNumberFormat="1">
      <alignment vertical="bottom"/>
    </xf>
    <xf borderId="4" fillId="0" fontId="2" numFmtId="49" xfId="0" applyAlignment="1" applyBorder="1" applyFont="1" applyNumberFormat="1">
      <alignment horizontal="center" vertical="bottom"/>
    </xf>
    <xf borderId="0" fillId="5" fontId="7" numFmtId="165" xfId="0" applyAlignment="1" applyFill="1" applyFont="1" applyNumberFormat="1">
      <alignment horizontal="center" vertical="bottom"/>
    </xf>
    <xf borderId="5" fillId="0" fontId="2" numFmtId="2" xfId="0" applyAlignment="1" applyBorder="1" applyFont="1" applyNumberFormat="1">
      <alignment horizontal="center" vertical="bottom"/>
    </xf>
    <xf borderId="0" fillId="4" fontId="7" numFmtId="165" xfId="0" applyAlignment="1" applyFont="1" applyNumberFormat="1">
      <alignment horizontal="center" vertical="bottom"/>
    </xf>
    <xf borderId="0" fillId="4" fontId="7" numFmtId="165" xfId="0" applyAlignment="1" applyFont="1" applyNumberFormat="1">
      <alignment horizontal="center" vertical="top"/>
    </xf>
    <xf borderId="0" fillId="0" fontId="2" numFmtId="0" xfId="0" applyAlignment="1" applyFont="1">
      <alignment horizontal="center" vertical="bottom"/>
    </xf>
    <xf borderId="0" fillId="5" fontId="2" numFmtId="165" xfId="0" applyAlignment="1" applyFont="1" applyNumberFormat="1">
      <alignment horizontal="center" vertical="bottom"/>
    </xf>
    <xf borderId="5" fillId="0" fontId="2" numFmtId="169" xfId="0" applyAlignment="1" applyBorder="1" applyFont="1" applyNumberFormat="1">
      <alignment horizontal="center" vertical="bottom"/>
    </xf>
    <xf borderId="0" fillId="0" fontId="2" numFmtId="165" xfId="0" applyAlignment="1" applyFont="1" applyNumberFormat="1">
      <alignment horizontal="center" vertical="bottom"/>
    </xf>
    <xf borderId="0" fillId="0" fontId="2" numFmtId="165" xfId="0" applyAlignment="1" applyFont="1" applyNumberFormat="1">
      <alignment vertical="bottom"/>
    </xf>
    <xf borderId="5" fillId="0" fontId="2" numFmtId="10" xfId="0" applyAlignment="1" applyBorder="1" applyFont="1" applyNumberFormat="1">
      <alignment horizontal="center" vertical="bottom"/>
    </xf>
    <xf borderId="6" fillId="0" fontId="2" numFmtId="0" xfId="0" applyAlignment="1" applyBorder="1" applyFont="1">
      <alignment vertical="bottom"/>
    </xf>
    <xf borderId="6" fillId="4" fontId="9" numFmtId="165" xfId="0" applyAlignment="1" applyBorder="1" applyFont="1" applyNumberFormat="1">
      <alignment horizontal="center" vertical="bottom"/>
    </xf>
    <xf borderId="6" fillId="0" fontId="10" numFmtId="165" xfId="0" applyAlignment="1" applyBorder="1" applyFont="1" applyNumberFormat="1">
      <alignment horizontal="center" vertical="bottom"/>
    </xf>
    <xf borderId="7" fillId="0" fontId="1" numFmtId="10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46195.0</v>
      </c>
      <c r="B1" s="2"/>
      <c r="C1" s="3" t="s">
        <v>0</v>
      </c>
      <c r="D1" s="4" t="s">
        <v>1</v>
      </c>
      <c r="E1" s="3" t="s">
        <v>2</v>
      </c>
      <c r="F1" s="5" t="s">
        <v>3</v>
      </c>
    </row>
    <row r="2">
      <c r="A2" s="6">
        <f>A1+6</f>
        <v>46201</v>
      </c>
      <c r="B2" s="7" t="s">
        <v>4</v>
      </c>
      <c r="C2" s="8" t="s">
        <v>5</v>
      </c>
      <c r="D2" s="8">
        <f>122+1</f>
        <v>123</v>
      </c>
      <c r="E2" s="8" t="s">
        <v>6</v>
      </c>
      <c r="F2" s="9">
        <f>C2*C3+D2*D3+E2*E3</f>
        <v>25683</v>
      </c>
    </row>
    <row r="3">
      <c r="A3" s="10"/>
      <c r="B3" s="11" t="s">
        <v>7</v>
      </c>
      <c r="C3" s="12">
        <v>79.0</v>
      </c>
      <c r="D3" s="12">
        <v>128.0</v>
      </c>
      <c r="E3" s="12">
        <v>168.0</v>
      </c>
      <c r="F3" s="13"/>
    </row>
    <row r="4">
      <c r="A4" s="14"/>
      <c r="B4" s="7" t="s">
        <v>8</v>
      </c>
      <c r="C4" s="8" t="s">
        <v>9</v>
      </c>
      <c r="D4" s="8">
        <f>165+1</f>
        <v>166</v>
      </c>
      <c r="E4" s="8" t="s">
        <v>10</v>
      </c>
      <c r="F4" s="9">
        <f>C4*C5+D4*D5+E4*E5</f>
        <v>32675.5</v>
      </c>
    </row>
    <row r="5">
      <c r="A5" s="10"/>
      <c r="B5" s="11" t="s">
        <v>11</v>
      </c>
      <c r="C5" s="12">
        <f t="shared" ref="C5:E5" si="1">C7*1.1</f>
        <v>86.9</v>
      </c>
      <c r="D5" s="12">
        <f t="shared" si="1"/>
        <v>140.8</v>
      </c>
      <c r="E5" s="12">
        <f t="shared" si="1"/>
        <v>184.8</v>
      </c>
      <c r="F5" s="13"/>
    </row>
    <row r="6">
      <c r="A6" s="14"/>
      <c r="B6" s="7" t="s">
        <v>12</v>
      </c>
      <c r="C6" s="8" t="s">
        <v>13</v>
      </c>
      <c r="D6" s="8" t="s">
        <v>14</v>
      </c>
      <c r="E6" s="8" t="s">
        <v>15</v>
      </c>
      <c r="F6" s="9">
        <f>C6*C3+D6*D3+E6*E3</f>
        <v>3145</v>
      </c>
    </row>
    <row r="7">
      <c r="A7" s="10"/>
      <c r="B7" s="11" t="s">
        <v>7</v>
      </c>
      <c r="C7" s="12">
        <v>79.0</v>
      </c>
      <c r="D7" s="12">
        <v>128.0</v>
      </c>
      <c r="E7" s="12">
        <v>168.0</v>
      </c>
      <c r="F7" s="13"/>
    </row>
    <row r="8">
      <c r="A8" s="10"/>
      <c r="B8" s="7" t="s">
        <v>16</v>
      </c>
      <c r="C8" s="15"/>
      <c r="D8" s="16"/>
      <c r="E8" s="15"/>
      <c r="F8" s="9">
        <f>C8*C9+D8*D9+E8*E9</f>
        <v>0</v>
      </c>
    </row>
    <row r="9">
      <c r="A9" s="10"/>
      <c r="B9" s="11" t="s">
        <v>7</v>
      </c>
      <c r="C9" s="12">
        <v>79.0</v>
      </c>
      <c r="D9" s="12">
        <v>128.0</v>
      </c>
      <c r="E9" s="12">
        <v>168.0</v>
      </c>
      <c r="F9" s="13"/>
    </row>
    <row r="10">
      <c r="A10" s="10"/>
      <c r="B10" s="7" t="s">
        <v>17</v>
      </c>
      <c r="C10" s="15"/>
      <c r="D10" s="16"/>
      <c r="E10" s="15"/>
      <c r="F10" s="9">
        <f>C10*C11+D10*D11+E10*E11</f>
        <v>0</v>
      </c>
    </row>
    <row r="11">
      <c r="A11" s="10"/>
      <c r="B11" s="11" t="s">
        <v>11</v>
      </c>
      <c r="C11" s="12">
        <v>86.9</v>
      </c>
      <c r="D11" s="12">
        <v>140.8</v>
      </c>
      <c r="E11" s="12">
        <v>184.8</v>
      </c>
      <c r="F11" s="13"/>
    </row>
    <row r="12">
      <c r="A12" s="10"/>
      <c r="B12" s="17" t="s">
        <v>18</v>
      </c>
      <c r="C12" s="8">
        <f t="shared" ref="C12:E12" si="2">C2+C4+C6</f>
        <v>91</v>
      </c>
      <c r="D12" s="8">
        <f t="shared" si="2"/>
        <v>304</v>
      </c>
      <c r="E12" s="8">
        <f t="shared" si="2"/>
        <v>74</v>
      </c>
      <c r="F12" s="13"/>
    </row>
    <row r="13">
      <c r="A13" s="18">
        <f>B13/B14</f>
        <v>0.3139223561</v>
      </c>
      <c r="B13" s="8">
        <f>sum(C12,D12,E12)</f>
        <v>469</v>
      </c>
      <c r="C13" s="19">
        <f>C12/B13</f>
        <v>0.1940298507</v>
      </c>
      <c r="D13" s="19">
        <f>D12/B13</f>
        <v>0.6481876333</v>
      </c>
      <c r="E13" s="19">
        <f>E12/B13</f>
        <v>0.157782516</v>
      </c>
      <c r="F13" s="13"/>
    </row>
    <row r="14">
      <c r="A14" s="20" t="s">
        <v>19</v>
      </c>
      <c r="B14" s="21">
        <v>1494.0</v>
      </c>
      <c r="C14" s="22"/>
      <c r="D14" s="14"/>
      <c r="E14" s="23" t="s">
        <v>20</v>
      </c>
      <c r="F14" s="9">
        <f>SUM(F2:F13)</f>
        <v>61503.5</v>
      </c>
    </row>
    <row r="15">
      <c r="A15" s="24" t="s">
        <v>21</v>
      </c>
      <c r="B15" s="25"/>
      <c r="C15" s="26">
        <f>B15/B13</f>
        <v>0</v>
      </c>
      <c r="D15" s="14" t="s">
        <v>22</v>
      </c>
      <c r="E15" s="22" t="s">
        <v>23</v>
      </c>
      <c r="F15" s="27">
        <f>F14/B13</f>
        <v>131.1375267</v>
      </c>
    </row>
    <row r="16">
      <c r="A16" s="24" t="s">
        <v>24</v>
      </c>
      <c r="B16" s="25"/>
      <c r="C16" s="26">
        <f>B16/B13</f>
        <v>0</v>
      </c>
      <c r="D16" s="14"/>
      <c r="E16" s="28" t="s">
        <v>25</v>
      </c>
      <c r="F16" s="29" t="str">
        <f>F15-(E66/B13)</f>
        <v>#REF!</v>
      </c>
    </row>
    <row r="17">
      <c r="A17" s="10"/>
      <c r="B17" s="30" t="s">
        <v>26</v>
      </c>
      <c r="C17" s="31">
        <f>C15*12+C16*4</f>
        <v>0</v>
      </c>
      <c r="D17" s="14"/>
      <c r="E17" s="22"/>
      <c r="F17" s="13"/>
    </row>
    <row r="18">
      <c r="A18" s="24">
        <f>0.28*B14</f>
        <v>418.32</v>
      </c>
      <c r="B18" s="32"/>
      <c r="C18" s="33"/>
      <c r="D18" s="34"/>
      <c r="E18" s="32"/>
      <c r="F18" s="13"/>
    </row>
    <row r="19">
      <c r="A19" s="10"/>
      <c r="B19" s="35" t="s">
        <v>27</v>
      </c>
      <c r="C19" s="36">
        <v>15.0</v>
      </c>
      <c r="D19" s="14"/>
      <c r="E19" s="37">
        <f t="shared" ref="E19:E44" si="3">C19*D19</f>
        <v>0</v>
      </c>
      <c r="F19" s="38"/>
    </row>
    <row r="20">
      <c r="A20" s="10"/>
      <c r="B20" s="35" t="s">
        <v>28</v>
      </c>
      <c r="C20" s="36">
        <f>(4/16)*16</f>
        <v>4</v>
      </c>
      <c r="D20" s="14"/>
      <c r="E20" s="37">
        <f t="shared" si="3"/>
        <v>0</v>
      </c>
      <c r="F20" s="38"/>
    </row>
    <row r="21">
      <c r="A21" s="10"/>
      <c r="B21" s="35" t="s">
        <v>29</v>
      </c>
      <c r="C21" s="36">
        <f>(5/16)*19</f>
        <v>5.9375</v>
      </c>
      <c r="D21" s="14"/>
      <c r="E21" s="37">
        <f t="shared" si="3"/>
        <v>0</v>
      </c>
      <c r="F21" s="38"/>
    </row>
    <row r="22">
      <c r="A22" s="10"/>
      <c r="B22" s="35" t="s">
        <v>30</v>
      </c>
      <c r="C22" s="36">
        <f>0.5*25</f>
        <v>12.5</v>
      </c>
      <c r="D22" s="14"/>
      <c r="E22" s="37">
        <f t="shared" si="3"/>
        <v>0</v>
      </c>
      <c r="F22" s="38"/>
    </row>
    <row r="23">
      <c r="A23" s="39">
        <f>A18-B13</f>
        <v>-50.68</v>
      </c>
      <c r="B23" s="35" t="s">
        <v>31</v>
      </c>
      <c r="C23" s="40">
        <f>60/2</f>
        <v>30</v>
      </c>
      <c r="D23" s="14"/>
      <c r="E23" s="37">
        <f t="shared" si="3"/>
        <v>0</v>
      </c>
      <c r="F23" s="41">
        <f>D23/E12</f>
        <v>0</v>
      </c>
    </row>
    <row r="24">
      <c r="A24" s="10"/>
      <c r="B24" s="35" t="s">
        <v>32</v>
      </c>
      <c r="C24" s="40">
        <v>12.0</v>
      </c>
      <c r="D24" s="16"/>
      <c r="E24" s="37">
        <f t="shared" si="3"/>
        <v>0</v>
      </c>
      <c r="F24" s="41">
        <f>D24/C12</f>
        <v>0</v>
      </c>
    </row>
    <row r="25">
      <c r="A25" s="10"/>
      <c r="B25" s="35" t="s">
        <v>33</v>
      </c>
      <c r="C25" s="42">
        <v>7.5</v>
      </c>
      <c r="D25" s="14"/>
      <c r="E25" s="37">
        <f t="shared" si="3"/>
        <v>0</v>
      </c>
      <c r="F25" s="41">
        <f>D25/D12</f>
        <v>0</v>
      </c>
    </row>
    <row r="26">
      <c r="A26" s="10"/>
      <c r="B26" s="35" t="s">
        <v>34</v>
      </c>
      <c r="C26" s="42">
        <v>14.5</v>
      </c>
      <c r="D26" s="14"/>
      <c r="E26" s="37">
        <f t="shared" si="3"/>
        <v>0</v>
      </c>
      <c r="F26" s="41">
        <f>D26/D12</f>
        <v>0</v>
      </c>
    </row>
    <row r="27">
      <c r="A27" s="10"/>
      <c r="B27" s="35" t="s">
        <v>35</v>
      </c>
      <c r="C27" s="43">
        <v>35.0</v>
      </c>
      <c r="D27" s="14"/>
      <c r="E27" s="37">
        <f t="shared" si="3"/>
        <v>0</v>
      </c>
      <c r="F27" s="41">
        <f>D27/E12</f>
        <v>0</v>
      </c>
    </row>
    <row r="28">
      <c r="A28" s="10"/>
      <c r="B28" s="44" t="s">
        <v>36</v>
      </c>
      <c r="C28" s="45">
        <v>20.0</v>
      </c>
      <c r="D28" s="14"/>
      <c r="E28" s="37">
        <f t="shared" si="3"/>
        <v>0</v>
      </c>
      <c r="F28" s="46">
        <f>D28/E12</f>
        <v>0</v>
      </c>
    </row>
    <row r="29">
      <c r="A29" s="10"/>
      <c r="B29" s="35" t="s">
        <v>37</v>
      </c>
      <c r="C29" s="42">
        <v>12.0</v>
      </c>
      <c r="D29" s="14"/>
      <c r="E29" s="37">
        <f t="shared" si="3"/>
        <v>0</v>
      </c>
      <c r="F29" s="46">
        <f>D29/E12</f>
        <v>0</v>
      </c>
    </row>
    <row r="30">
      <c r="A30" s="10"/>
      <c r="B30" s="35" t="s">
        <v>38</v>
      </c>
      <c r="C30" s="40">
        <f>21.6/2</f>
        <v>10.8</v>
      </c>
      <c r="D30" s="14"/>
      <c r="E30" s="37">
        <f t="shared" si="3"/>
        <v>0</v>
      </c>
      <c r="F30" s="13"/>
    </row>
    <row r="31">
      <c r="A31" s="10"/>
      <c r="B31" s="35" t="s">
        <v>39</v>
      </c>
      <c r="C31" s="40">
        <v>21.6</v>
      </c>
      <c r="D31" s="14"/>
      <c r="E31" s="37">
        <f t="shared" si="3"/>
        <v>0</v>
      </c>
      <c r="F31" s="13"/>
    </row>
    <row r="32">
      <c r="A32" s="10"/>
      <c r="B32" s="44" t="s">
        <v>40</v>
      </c>
      <c r="C32" s="47">
        <v>8.0</v>
      </c>
      <c r="D32" s="14"/>
      <c r="E32" s="37">
        <f t="shared" si="3"/>
        <v>0</v>
      </c>
      <c r="F32" s="13"/>
    </row>
    <row r="33">
      <c r="A33" s="10"/>
      <c r="B33" s="44" t="s">
        <v>41</v>
      </c>
      <c r="C33" s="47">
        <v>12.0</v>
      </c>
      <c r="D33" s="14"/>
      <c r="E33" s="37">
        <f t="shared" si="3"/>
        <v>0</v>
      </c>
      <c r="F33" s="13"/>
    </row>
    <row r="34">
      <c r="A34" s="10"/>
      <c r="B34" s="44" t="s">
        <v>42</v>
      </c>
      <c r="C34" s="45">
        <v>4.85</v>
      </c>
      <c r="D34" s="14"/>
      <c r="E34" s="37">
        <f t="shared" si="3"/>
        <v>0</v>
      </c>
      <c r="F34" s="13"/>
    </row>
    <row r="35">
      <c r="A35" s="10"/>
      <c r="B35" s="44" t="s">
        <v>43</v>
      </c>
      <c r="C35" s="45">
        <v>5.95</v>
      </c>
      <c r="D35" s="14"/>
      <c r="E35" s="37">
        <f t="shared" si="3"/>
        <v>0</v>
      </c>
      <c r="F35" s="13"/>
    </row>
    <row r="36">
      <c r="A36" s="10"/>
      <c r="B36" s="44" t="s">
        <v>44</v>
      </c>
      <c r="C36" s="45">
        <v>5.5</v>
      </c>
      <c r="D36" s="14"/>
      <c r="E36" s="37">
        <f t="shared" si="3"/>
        <v>0</v>
      </c>
      <c r="F36" s="13"/>
    </row>
    <row r="37">
      <c r="A37" s="10"/>
      <c r="B37" s="35" t="s">
        <v>45</v>
      </c>
      <c r="C37" s="42">
        <f>9.36/2</f>
        <v>4.68</v>
      </c>
      <c r="D37" s="14"/>
      <c r="E37" s="37">
        <f t="shared" si="3"/>
        <v>0</v>
      </c>
      <c r="F37" s="13"/>
    </row>
    <row r="38">
      <c r="A38" s="10"/>
      <c r="B38" s="35" t="s">
        <v>46</v>
      </c>
      <c r="C38" s="42">
        <v>9.36</v>
      </c>
      <c r="D38" s="14"/>
      <c r="E38" s="37">
        <f t="shared" si="3"/>
        <v>0</v>
      </c>
      <c r="F38" s="13"/>
    </row>
    <row r="39">
      <c r="A39" s="10"/>
      <c r="B39" s="35" t="s">
        <v>47</v>
      </c>
      <c r="C39" s="40">
        <v>10.0</v>
      </c>
      <c r="D39" s="14"/>
      <c r="E39" s="37">
        <f t="shared" si="3"/>
        <v>0</v>
      </c>
      <c r="F39" s="41">
        <f>D39/D12</f>
        <v>0</v>
      </c>
    </row>
    <row r="40">
      <c r="A40" s="10"/>
      <c r="B40" s="35" t="s">
        <v>48</v>
      </c>
      <c r="C40" s="42">
        <v>6.0</v>
      </c>
      <c r="D40" s="14"/>
      <c r="E40" s="37">
        <f t="shared" si="3"/>
        <v>0</v>
      </c>
      <c r="F40" s="13"/>
    </row>
    <row r="41">
      <c r="A41" s="10"/>
      <c r="B41" s="35" t="s">
        <v>49</v>
      </c>
      <c r="C41" s="42">
        <v>12.0</v>
      </c>
      <c r="D41" s="14"/>
      <c r="E41" s="37">
        <f t="shared" si="3"/>
        <v>0</v>
      </c>
      <c r="F41" s="13"/>
    </row>
    <row r="42">
      <c r="A42" s="10"/>
      <c r="B42" s="35" t="s">
        <v>50</v>
      </c>
      <c r="C42" s="40">
        <v>23.0</v>
      </c>
      <c r="D42" s="14"/>
      <c r="E42" s="37">
        <f t="shared" si="3"/>
        <v>0</v>
      </c>
      <c r="F42" s="13"/>
    </row>
    <row r="43">
      <c r="A43" s="10"/>
      <c r="B43" s="44" t="s">
        <v>51</v>
      </c>
      <c r="C43" s="47">
        <v>8.0</v>
      </c>
      <c r="D43" s="14"/>
      <c r="E43" s="37">
        <f t="shared" si="3"/>
        <v>0</v>
      </c>
      <c r="F43" s="13"/>
    </row>
    <row r="44">
      <c r="A44" s="10"/>
      <c r="B44" s="44" t="s">
        <v>52</v>
      </c>
      <c r="C44" s="47">
        <v>2.5</v>
      </c>
      <c r="D44" s="14"/>
      <c r="E44" s="37">
        <f t="shared" si="3"/>
        <v>0</v>
      </c>
      <c r="F44" s="13"/>
    </row>
    <row r="45">
      <c r="A45" s="10"/>
      <c r="B45" s="14"/>
      <c r="C45" s="48"/>
      <c r="D45" s="14"/>
      <c r="E45" s="32"/>
      <c r="F45" s="13"/>
    </row>
    <row r="46">
      <c r="A46" s="10"/>
      <c r="B46" s="17" t="s">
        <v>53</v>
      </c>
      <c r="C46" s="48"/>
      <c r="D46" s="14"/>
      <c r="E46" s="32"/>
      <c r="F46" s="13"/>
    </row>
    <row r="47">
      <c r="A47" s="10"/>
      <c r="B47" s="44" t="s">
        <v>54</v>
      </c>
      <c r="C47" s="47">
        <v>10.0</v>
      </c>
      <c r="D47" s="14"/>
      <c r="E47" s="37">
        <f t="shared" ref="E47:E60" si="4">C47*D47</f>
        <v>0</v>
      </c>
      <c r="F47" s="13"/>
    </row>
    <row r="48">
      <c r="A48" s="10"/>
      <c r="B48" s="44" t="s">
        <v>55</v>
      </c>
      <c r="C48" s="47">
        <v>3.0</v>
      </c>
      <c r="D48" s="14"/>
      <c r="E48" s="37">
        <f t="shared" si="4"/>
        <v>0</v>
      </c>
      <c r="F48" s="13"/>
    </row>
    <row r="49">
      <c r="A49" s="10"/>
      <c r="B49" s="44" t="s">
        <v>56</v>
      </c>
      <c r="C49" s="47">
        <v>2.0</v>
      </c>
      <c r="D49" s="14"/>
      <c r="E49" s="37">
        <f t="shared" si="4"/>
        <v>0</v>
      </c>
      <c r="F49" s="13"/>
    </row>
    <row r="50">
      <c r="A50" s="10"/>
      <c r="B50" s="44" t="s">
        <v>57</v>
      </c>
      <c r="C50" s="47">
        <v>3.0</v>
      </c>
      <c r="D50" s="14"/>
      <c r="E50" s="37">
        <f t="shared" si="4"/>
        <v>0</v>
      </c>
      <c r="F50" s="13"/>
    </row>
    <row r="51">
      <c r="A51" s="10"/>
      <c r="B51" s="44" t="s">
        <v>58</v>
      </c>
      <c r="C51" s="47">
        <v>2.0</v>
      </c>
      <c r="D51" s="14"/>
      <c r="E51" s="37">
        <f t="shared" si="4"/>
        <v>0</v>
      </c>
      <c r="F51" s="13"/>
    </row>
    <row r="52">
      <c r="A52" s="10"/>
      <c r="B52" s="44" t="s">
        <v>59</v>
      </c>
      <c r="C52" s="47">
        <v>3.0</v>
      </c>
      <c r="D52" s="14"/>
      <c r="E52" s="37">
        <f t="shared" si="4"/>
        <v>0</v>
      </c>
      <c r="F52" s="13"/>
    </row>
    <row r="53">
      <c r="A53" s="10"/>
      <c r="B53" s="44" t="s">
        <v>60</v>
      </c>
      <c r="C53" s="47">
        <v>3.0</v>
      </c>
      <c r="D53" s="14"/>
      <c r="E53" s="37">
        <f t="shared" si="4"/>
        <v>0</v>
      </c>
      <c r="F53" s="13"/>
    </row>
    <row r="54">
      <c r="A54" s="10"/>
      <c r="B54" s="44" t="s">
        <v>61</v>
      </c>
      <c r="C54" s="47">
        <v>3.0</v>
      </c>
      <c r="D54" s="14"/>
      <c r="E54" s="37">
        <f t="shared" si="4"/>
        <v>0</v>
      </c>
      <c r="F54" s="13"/>
    </row>
    <row r="55">
      <c r="A55" s="10"/>
      <c r="B55" s="44" t="s">
        <v>62</v>
      </c>
      <c r="C55" s="47">
        <v>4.0</v>
      </c>
      <c r="D55" s="14"/>
      <c r="E55" s="37">
        <f t="shared" si="4"/>
        <v>0</v>
      </c>
      <c r="F55" s="13"/>
    </row>
    <row r="56">
      <c r="A56" s="10"/>
      <c r="B56" s="44" t="s">
        <v>63</v>
      </c>
      <c r="C56" s="47">
        <v>4.0</v>
      </c>
      <c r="D56" s="14"/>
      <c r="E56" s="37">
        <f t="shared" si="4"/>
        <v>0</v>
      </c>
      <c r="F56" s="13"/>
    </row>
    <row r="57">
      <c r="A57" s="10"/>
      <c r="B57" s="44" t="s">
        <v>64</v>
      </c>
      <c r="C57" s="47">
        <v>6.0</v>
      </c>
      <c r="D57" s="14"/>
      <c r="E57" s="37">
        <f t="shared" si="4"/>
        <v>0</v>
      </c>
      <c r="F57" s="13"/>
    </row>
    <row r="58">
      <c r="A58" s="10"/>
      <c r="B58" s="44" t="s">
        <v>65</v>
      </c>
      <c r="C58" s="47">
        <v>4.0</v>
      </c>
      <c r="D58" s="14"/>
      <c r="E58" s="37">
        <f t="shared" si="4"/>
        <v>0</v>
      </c>
      <c r="F58" s="13"/>
    </row>
    <row r="59">
      <c r="A59" s="10"/>
      <c r="B59" s="44" t="s">
        <v>66</v>
      </c>
      <c r="C59" s="47">
        <v>6.0</v>
      </c>
      <c r="D59" s="16"/>
      <c r="E59" s="37">
        <f t="shared" si="4"/>
        <v>0</v>
      </c>
      <c r="F59" s="13"/>
    </row>
    <row r="60">
      <c r="A60" s="10"/>
      <c r="B60" s="44" t="s">
        <v>67</v>
      </c>
      <c r="C60" s="47">
        <v>2.0</v>
      </c>
      <c r="D60" s="14"/>
      <c r="E60" s="37">
        <f t="shared" si="4"/>
        <v>0</v>
      </c>
      <c r="F60" s="13"/>
    </row>
    <row r="61">
      <c r="A61" s="10"/>
      <c r="B61" s="44" t="s">
        <v>68</v>
      </c>
      <c r="C61" s="47">
        <v>4.0</v>
      </c>
      <c r="D61" s="14"/>
      <c r="E61" s="37" t="str">
        <f>C61*#REF!</f>
        <v>#REF!</v>
      </c>
      <c r="F61" s="13"/>
    </row>
    <row r="62">
      <c r="A62" s="10"/>
      <c r="B62" s="44" t="s">
        <v>69</v>
      </c>
      <c r="C62" s="47">
        <v>4.0</v>
      </c>
      <c r="D62" s="14"/>
      <c r="E62" s="37">
        <f>C62*D61</f>
        <v>0</v>
      </c>
      <c r="F62" s="13"/>
    </row>
    <row r="63">
      <c r="A63" s="10"/>
      <c r="B63" s="14"/>
      <c r="C63" s="48"/>
      <c r="E63" s="22"/>
      <c r="F63" s="13"/>
    </row>
    <row r="64">
      <c r="A64" s="10"/>
      <c r="B64" s="44" t="s">
        <v>70</v>
      </c>
      <c r="C64" s="47">
        <v>2.0</v>
      </c>
      <c r="D64" s="14"/>
      <c r="E64" s="47">
        <f>C64*D64</f>
        <v>0</v>
      </c>
      <c r="F64" s="49">
        <f>D64/B13</f>
        <v>0</v>
      </c>
    </row>
    <row r="65">
      <c r="A65" s="10"/>
      <c r="B65" s="14"/>
      <c r="C65" s="22"/>
      <c r="D65" s="14"/>
      <c r="E65" s="22"/>
      <c r="F65" s="13"/>
    </row>
    <row r="66">
      <c r="A66" s="10"/>
      <c r="B66" s="50"/>
      <c r="C66" s="51" t="s">
        <v>71</v>
      </c>
      <c r="D66" s="50"/>
      <c r="E66" s="52" t="str">
        <f>sum(E20:E64)</f>
        <v>#REF!</v>
      </c>
      <c r="F66" s="53" t="str">
        <f>E66/F14</f>
        <v>#REF!</v>
      </c>
    </row>
  </sheetData>
  <drawing r:id="rId1"/>
</worksheet>
</file>